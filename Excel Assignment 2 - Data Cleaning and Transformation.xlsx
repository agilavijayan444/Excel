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n\OneDrive\Desktop\Data Analysis\"/>
    </mc:Choice>
  </mc:AlternateContent>
  <xr:revisionPtr revIDLastSave="0" documentId="13_ncr:1_{4AF23379-6342-46A1-89E1-378EE592D41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Answers" sheetId="4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J2" i="4"/>
  <c r="M2" i="4" s="1"/>
  <c r="J3" i="4"/>
  <c r="M3" i="4" s="1"/>
  <c r="J4" i="4"/>
  <c r="M4" i="4" s="1"/>
  <c r="J5" i="4"/>
  <c r="M5" i="4" s="1"/>
  <c r="J6" i="4"/>
  <c r="M6" i="4" s="1"/>
  <c r="J7" i="4"/>
  <c r="M7" i="4" s="1"/>
  <c r="J8" i="4"/>
  <c r="M8" i="4" s="1"/>
  <c r="J9" i="4"/>
  <c r="M9" i="4" s="1"/>
  <c r="J10" i="4"/>
  <c r="M10" i="4" s="1"/>
  <c r="J11" i="4"/>
  <c r="M11" i="4" s="1"/>
  <c r="J12" i="4"/>
  <c r="M12" i="4" s="1"/>
  <c r="J13" i="4"/>
  <c r="M13" i="4" s="1"/>
  <c r="J14" i="4"/>
  <c r="M14" i="4" s="1"/>
  <c r="J15" i="4"/>
  <c r="M15" i="4" s="1"/>
  <c r="J16" i="4"/>
  <c r="M16" i="4" s="1"/>
  <c r="J17" i="4"/>
  <c r="M17" i="4" s="1"/>
  <c r="J18" i="4"/>
  <c r="M18" i="4" s="1"/>
  <c r="J19" i="4"/>
  <c r="M19" i="4" s="1"/>
  <c r="J20" i="4"/>
  <c r="M20" i="4" s="1"/>
  <c r="J21" i="4"/>
  <c r="M21" i="4" s="1"/>
  <c r="J22" i="4"/>
  <c r="M22" i="4" s="1"/>
  <c r="J23" i="4"/>
  <c r="M23" i="4" s="1"/>
  <c r="J24" i="4"/>
  <c r="M24" i="4" s="1"/>
  <c r="J25" i="4"/>
  <c r="M25" i="4" s="1"/>
  <c r="J26" i="4"/>
  <c r="M26" i="4" s="1"/>
  <c r="J27" i="4"/>
  <c r="M27" i="4" s="1"/>
  <c r="J28" i="4"/>
  <c r="M28" i="4" s="1"/>
  <c r="J29" i="4"/>
  <c r="M29" i="4" s="1"/>
  <c r="J30" i="4"/>
  <c r="M30" i="4" s="1"/>
  <c r="J31" i="4"/>
  <c r="M31" i="4" s="1"/>
  <c r="J32" i="4"/>
  <c r="M32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</calcChain>
</file>

<file path=xl/sharedStrings.xml><?xml version="1.0" encoding="utf-8"?>
<sst xmlns="http://schemas.openxmlformats.org/spreadsheetml/2006/main" count="182" uniqueCount="133">
  <si>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</si>
  <si>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</si>
  <si>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</si>
  <si>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</si>
  <si>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</si>
  <si>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</si>
  <si>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</si>
  <si>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</si>
  <si>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</si>
  <si>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</si>
  <si>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</si>
  <si>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</si>
  <si>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</si>
  <si>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</si>
  <si>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</si>
  <si>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</si>
  <si>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</si>
  <si>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</si>
  <si>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</si>
  <si>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</si>
  <si>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</si>
  <si>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</si>
  <si>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</si>
  <si>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</si>
  <si>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</si>
  <si>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</si>
  <si>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</si>
  <si>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</si>
  <si>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</si>
  <si>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</si>
  <si>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</si>
  <si>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</si>
  <si>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</si>
  <si>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</si>
  <si>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</si>
  <si>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</si>
  <si>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</si>
  <si>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</si>
  <si>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</si>
  <si>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</si>
  <si>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</si>
  <si>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</si>
  <si>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</si>
  <si>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</si>
  <si>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</si>
  <si>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</si>
  <si>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</si>
  <si>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</si>
  <si>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</si>
  <si>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</si>
  <si>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</si>
  <si>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</si>
  <si>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</si>
  <si>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</si>
  <si>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</si>
  <si>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</si>
  <si>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</si>
  <si>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</si>
  <si>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</si>
  <si>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</si>
  <si>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</si>
  <si>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</si>
  <si>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</si>
  <si>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</si>
  <si>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</si>
  <si>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</si>
  <si>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</si>
  <si>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</si>
  <si>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</si>
  <si>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</si>
  <si>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</si>
  <si>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</si>
  <si>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</si>
  <si>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</si>
  <si>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</si>
  <si>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</si>
  <si>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</si>
  <si>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</si>
  <si>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</si>
  <si>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</si>
  <si>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</si>
  <si>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</si>
  <si>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</si>
  <si>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</si>
  <si>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</si>
  <si>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</si>
  <si>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</si>
  <si>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</si>
  <si>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</si>
  <si>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</si>
  <si>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</si>
  <si>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</si>
  <si>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</si>
  <si>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</si>
  <si>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</si>
  <si>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</si>
  <si>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</si>
  <si>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</si>
  <si>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</si>
  <si>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</si>
  <si>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</si>
  <si>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</si>
  <si>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</si>
  <si>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</si>
  <si>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</si>
  <si>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</si>
  <si>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</si>
  <si>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</si>
  <si>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</si>
  <si>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</si>
  <si>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</si>
  <si>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</si>
  <si>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</si>
  <si>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</si>
  <si>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</si>
  <si>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</si>
  <si>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</si>
  <si>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</si>
  <si>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</si>
  <si>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</si>
  <si>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</si>
  <si>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</si>
  <si>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</si>
  <si>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</si>
  <si>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</si>
  <si>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</si>
  <si>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</si>
  <si>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</si>
  <si>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</si>
  <si>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Category Replacement</t>
  </si>
  <si>
    <t>Price ($) Imputed</t>
  </si>
  <si>
    <t>Missing Price ($)</t>
  </si>
  <si>
    <t>Cleaned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</si>
</sst>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7" fillId="2" borderId="2" xfId="0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14" fontId="5" fillId="3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7" fillId="2" borderId="3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7" fillId="2" borderId="3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7" fillId="2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[$$-409]#,##0.00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gray0625">
          <bgColor rgb="FFC7A1E3"/>
        </patternFill>
      </fill>
    </dxf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[$$-409]#,##0.00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7A1E3"/>
      <color rgb="FFBD92DE"/>
      <color rgb="FF8F45C7"/>
      <color rgb="FFF93627"/>
      <color rgb="FFFF3300"/>
      <color rgb="FF4DD567"/>
      <color rgb="FFE4B6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E32453-29BA-4B4F-950B-0092061220BD}" name="Table1" displayName="Table1" ref="A1:M32" totalsRowShown="0" headerRowDxfId="19" dataDxfId="17" headerRowBorderDxfId="18" tableBorderDxfId="16" totalsRowBorderDxfId="15">
  <autoFilter ref="A1:M32" xr:uid="{FDE32453-29BA-4B4F-950B-0092061220BD}"/>
  <tableColumns count="13">
    <tableColumn id="1" xr3:uid="{AAD9D785-9F28-41AE-BD03-2F9622BDEB8C}" name="Product ID" dataDxfId="14"/>
    <tableColumn id="2" xr3:uid="{5CF22FE5-F9ED-4516-BBB1-42EEB23D1EB9}" name="Product Name" dataDxfId="9"/>
    <tableColumn id="3" xr3:uid="{48D4825B-A463-4EB9-B8D1-548907069B7F}" name="Brand Name" dataDxfId="8"/>
    <tableColumn id="4" xr3:uid="{5488A3D6-0436-41FF-BF56-0EC502C15E60}" name="Price ($)" dataDxfId="13"/>
    <tableColumn id="8" xr3:uid="{5026C43D-5E8E-4916-81CD-E52A56301532}" name="Missing Price ($)" dataDxfId="7">
      <calculatedColumnFormula>ISBLANK(Table1[[#This Row],[Price ($)]])</calculatedColumnFormula>
    </tableColumn>
    <tableColumn id="5" xr3:uid="{3E9A43B6-22FE-4956-895C-3B269D2C6345}" name="Price ($) Imputed" dataDxfId="6">
      <calculatedColumnFormula>IF(ISBLANK(Table1[[#This Row],[Price ($)]]),MEDIAN(Table1[Price ($)]),Table1[[#This Row],[Price ($)]])</calculatedColumnFormula>
    </tableColumn>
    <tableColumn id="6" xr3:uid="{F187E21B-65AB-4F7E-8D1B-EFFDAD9AB391}" name="Quantity" dataDxfId="5"/>
    <tableColumn id="7" xr3:uid="{270164CD-07B4-4933-879F-EC7ED768DF7A}" name="Category" dataDxfId="4"/>
    <tableColumn id="10" xr3:uid="{A0442831-6D85-4A91-A234-6AEED21C18D7}" name="Category Replacement" dataDxfId="3">
      <calculatedColumnFormula>IF(ISBLANK(Table1[[#This Row],[Category]]),"Unknown",Table1[[#This Row],[Category]])</calculatedColumnFormula>
    </tableColumn>
    <tableColumn id="12" xr3:uid="{60790C72-4BED-43D5-B815-C361799369F8}" name="Cleaned Products" dataDxfId="2">
      <calculatedColumnFormula>PROPER(Table1[[#This Row],[Product Name]])</calculatedColumnFormula>
    </tableColumn>
    <tableColumn id="13" xr3:uid="{F1C4D0C9-C348-4C12-AB7E-67B76443DFDF}" name="Manufacturing Date" dataDxfId="10">
      <calculatedColumnFormula>LEFT(Table1[[#This Row],[Product ID]],6)</calculatedColumnFormula>
    </tableColumn>
    <tableColumn id="14" xr3:uid="{B638FE25-2742-4917-B6E6-32C9CEA7E1E9}" name="Country Code" dataDxfId="1"/>
    <tableColumn id="15" xr3:uid="{674D27AA-BFD8-451F-A19A-5624DFF48B17}" name="Product Brand" dataDxfId="0">
      <calculatedColumnFormula>_xlfn.CONCAT(Table1[[#This Row],[Brand Name]]," ",Table1[[#This Row],[Cleaned Products]])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O10" sqref="O1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4F76-BC6D-4160-8753-B526098EE88E}">
  <dimension ref="A1:M32"/>
  <sheetViews>
    <sheetView tabSelected="1" workbookViewId="0">
      <selection activeCell="H12" sqref="H12"/>
    </sheetView>
  </sheetViews>
  <sheetFormatPr defaultRowHeight="12.75" x14ac:dyDescent="0.2"/>
  <cols>
    <col min="1" max="1" width="12.5703125" customWidth="1"/>
    <col min="2" max="2" width="16" style="25" customWidth="1"/>
    <col min="3" max="3" width="14.42578125" style="25" customWidth="1"/>
    <col min="4" max="4" width="12.7109375" style="8" customWidth="1"/>
    <col min="5" max="5" width="12.7109375" style="25" customWidth="1"/>
    <col min="6" max="6" width="13" style="8" customWidth="1"/>
    <col min="7" max="7" width="11.28515625" style="30" bestFit="1" customWidth="1"/>
    <col min="8" max="8" width="13.7109375" style="25" bestFit="1" customWidth="1"/>
    <col min="9" max="9" width="20" style="25" customWidth="1"/>
    <col min="10" max="10" width="15.5703125" style="25" customWidth="1"/>
    <col min="11" max="11" width="14.85546875" style="20" customWidth="1"/>
    <col min="12" max="12" width="10.85546875" style="25" customWidth="1"/>
    <col min="13" max="13" width="20.5703125" style="25" customWidth="1"/>
  </cols>
  <sheetData>
    <row r="1" spans="1:13" s="7" customFormat="1" ht="24.75" customHeight="1" x14ac:dyDescent="0.2">
      <c r="A1" s="9" t="s">
        <v>19</v>
      </c>
      <c r="B1" s="21" t="s">
        <v>20</v>
      </c>
      <c r="C1" s="21" t="s">
        <v>21</v>
      </c>
      <c r="D1" s="10" t="s">
        <v>22</v>
      </c>
      <c r="E1" s="21" t="s">
        <v>131</v>
      </c>
      <c r="F1" s="10" t="s">
        <v>130</v>
      </c>
      <c r="G1" s="26" t="s">
        <v>23</v>
      </c>
      <c r="H1" s="21" t="s">
        <v>24</v>
      </c>
      <c r="I1" s="21" t="s">
        <v>129</v>
      </c>
      <c r="J1" s="21" t="s">
        <v>132</v>
      </c>
      <c r="K1" s="17" t="s">
        <v>114</v>
      </c>
      <c r="L1" s="21" t="s">
        <v>115</v>
      </c>
      <c r="M1" s="31" t="s">
        <v>128</v>
      </c>
    </row>
    <row r="2" spans="1:13" ht="18.75" customHeight="1" x14ac:dyDescent="0.2">
      <c r="A2" s="11" t="s">
        <v>25</v>
      </c>
      <c r="B2" s="22" t="s">
        <v>26</v>
      </c>
      <c r="C2" s="22" t="s">
        <v>27</v>
      </c>
      <c r="D2" s="12">
        <v>1000</v>
      </c>
      <c r="E2" s="22" t="b">
        <f>ISBLANK(Table1[[#This Row],[Price ($)]])</f>
        <v>0</v>
      </c>
      <c r="F2" s="12">
        <f>IF(ISBLANK(Table1[[#This Row],[Price ($)]]),MEDIAN(Table1[Price ($)]),Table1[[#This Row],[Price ($)]])</f>
        <v>1000</v>
      </c>
      <c r="G2" s="27">
        <v>30</v>
      </c>
      <c r="H2" s="22" t="s">
        <v>28</v>
      </c>
      <c r="I2" s="23" t="str">
        <f>IF(ISBLANK(Table1[[#This Row],[Category]]),"Unknown",Table1[[#This Row],[Category]])</f>
        <v>Electronics</v>
      </c>
      <c r="J2" s="23" t="str">
        <f>PROPER(Table1[[#This Row],[Product Name]])</f>
        <v>Laptop</v>
      </c>
      <c r="K2" s="18" t="str">
        <f>LEFT(Table1[[#This Row],[Product ID]],6)</f>
        <v>28-JAN</v>
      </c>
      <c r="L2" s="23" t="s">
        <v>116</v>
      </c>
      <c r="M2" s="32" t="str">
        <f>_xlfn.CONCAT(Table1[[#This Row],[Brand Name]]," ",Table1[[#This Row],[Cleaned Products]])</f>
        <v>Dell Laptop</v>
      </c>
    </row>
    <row r="3" spans="1:13" ht="17.25" customHeight="1" x14ac:dyDescent="0.2">
      <c r="A3" s="13" t="s">
        <v>29</v>
      </c>
      <c r="B3" s="23" t="s">
        <v>30</v>
      </c>
      <c r="C3" s="23" t="s">
        <v>31</v>
      </c>
      <c r="D3" s="14">
        <v>80</v>
      </c>
      <c r="E3" s="23" t="b">
        <f>ISBLANK(Table1[[#This Row],[Price ($)]])</f>
        <v>0</v>
      </c>
      <c r="F3" s="14">
        <f>IF(ISBLANK(Table1[[#This Row],[Price ($)]]),MEDIAN(Table1[Price ($)]),Table1[[#This Row],[Price ($)]])</f>
        <v>80</v>
      </c>
      <c r="G3" s="28">
        <v>15</v>
      </c>
      <c r="H3" s="23" t="s">
        <v>32</v>
      </c>
      <c r="I3" s="23" t="str">
        <f>IF(ISBLANK(Table1[[#This Row],[Category]]),"Unknown",Table1[[#This Row],[Category]])</f>
        <v>Fashion</v>
      </c>
      <c r="J3" s="23" t="str">
        <f>PROPER(Table1[[#This Row],[Product Name]])</f>
        <v>Sneakers</v>
      </c>
      <c r="K3" s="18" t="str">
        <f>LEFT(Table1[[#This Row],[Product ID]],6)</f>
        <v>15-FEB</v>
      </c>
      <c r="L3" s="23" t="s">
        <v>116</v>
      </c>
      <c r="M3" s="32" t="str">
        <f>_xlfn.CONCAT(Table1[[#This Row],[Brand Name]]," ",Table1[[#This Row],[Cleaned Products]])</f>
        <v>Nike Sneakers</v>
      </c>
    </row>
    <row r="4" spans="1:13" ht="18" customHeight="1" x14ac:dyDescent="0.2">
      <c r="A4" s="11" t="s">
        <v>33</v>
      </c>
      <c r="B4" s="22" t="s">
        <v>34</v>
      </c>
      <c r="C4" s="22" t="s">
        <v>35</v>
      </c>
      <c r="D4" s="12">
        <v>130</v>
      </c>
      <c r="E4" s="22" t="b">
        <f>ISBLANK(Table1[[#This Row],[Price ($)]])</f>
        <v>0</v>
      </c>
      <c r="F4" s="12">
        <f>IF(ISBLANK(Table1[[#This Row],[Price ($)]]),MEDIAN(Table1[Price ($)]),Table1[[#This Row],[Price ($)]])</f>
        <v>130</v>
      </c>
      <c r="G4" s="27">
        <v>40</v>
      </c>
      <c r="H4" s="22" t="s">
        <v>36</v>
      </c>
      <c r="I4" s="23" t="str">
        <f>IF(ISBLANK(Table1[[#This Row],[Category]]),"Unknown",Table1[[#This Row],[Category]])</f>
        <v>Kitchen</v>
      </c>
      <c r="J4" s="23" t="str">
        <f>PROPER(Table1[[#This Row],[Product Name]])</f>
        <v>Coffee Maker</v>
      </c>
      <c r="K4" s="18" t="str">
        <f>LEFT(Table1[[#This Row],[Product ID]],6)</f>
        <v>03-MAR</v>
      </c>
      <c r="L4" s="23" t="s">
        <v>116</v>
      </c>
      <c r="M4" s="32" t="str">
        <f>_xlfn.CONCAT(Table1[[#This Row],[Brand Name]]," ",Table1[[#This Row],[Cleaned Products]])</f>
        <v>Keurig Coffee Maker</v>
      </c>
    </row>
    <row r="5" spans="1:13" ht="17.25" customHeight="1" x14ac:dyDescent="0.2">
      <c r="A5" s="13" t="s">
        <v>37</v>
      </c>
      <c r="B5" s="23" t="s">
        <v>38</v>
      </c>
      <c r="C5" s="23" t="s">
        <v>39</v>
      </c>
      <c r="D5" s="14">
        <v>900</v>
      </c>
      <c r="E5" s="23" t="b">
        <f>ISBLANK(Table1[[#This Row],[Price ($)]])</f>
        <v>0</v>
      </c>
      <c r="F5" s="14">
        <f>IF(ISBLANK(Table1[[#This Row],[Price ($)]]),MEDIAN(Table1[Price ($)]),Table1[[#This Row],[Price ($)]])</f>
        <v>900</v>
      </c>
      <c r="G5" s="28">
        <v>25</v>
      </c>
      <c r="H5" s="23" t="s">
        <v>28</v>
      </c>
      <c r="I5" s="23" t="str">
        <f>IF(ISBLANK(Table1[[#This Row],[Category]]),"Unknown",Table1[[#This Row],[Category]])</f>
        <v>Electronics</v>
      </c>
      <c r="J5" s="23" t="str">
        <f>PROPER(Table1[[#This Row],[Product Name]])</f>
        <v>Smartphone</v>
      </c>
      <c r="K5" s="18" t="str">
        <f>LEFT(Table1[[#This Row],[Product ID]],6)</f>
        <v>11-APR</v>
      </c>
      <c r="L5" s="23" t="s">
        <v>116</v>
      </c>
      <c r="M5" s="32" t="str">
        <f>_xlfn.CONCAT(Table1[[#This Row],[Brand Name]]," ",Table1[[#This Row],[Cleaned Products]])</f>
        <v>Samsung Smartphone</v>
      </c>
    </row>
    <row r="6" spans="1:13" ht="16.5" customHeight="1" x14ac:dyDescent="0.2">
      <c r="A6" s="11" t="s">
        <v>40</v>
      </c>
      <c r="B6" s="22" t="s">
        <v>41</v>
      </c>
      <c r="C6" s="22" t="s">
        <v>42</v>
      </c>
      <c r="D6" s="12">
        <v>70</v>
      </c>
      <c r="E6" s="22" t="b">
        <f>ISBLANK(Table1[[#This Row],[Price ($)]])</f>
        <v>0</v>
      </c>
      <c r="F6" s="12">
        <f>IF(ISBLANK(Table1[[#This Row],[Price ($)]]),MEDIAN(Table1[Price ($)]),Table1[[#This Row],[Price ($)]])</f>
        <v>70</v>
      </c>
      <c r="G6" s="27">
        <v>20</v>
      </c>
      <c r="H6" s="22"/>
      <c r="I6" s="23" t="str">
        <f>IF(ISBLANK(Table1[[#This Row],[Category]]),"Unknown",Table1[[#This Row],[Category]])</f>
        <v>Unknown</v>
      </c>
      <c r="J6" s="23" t="str">
        <f>PROPER(Table1[[#This Row],[Product Name]])</f>
        <v>Backpack</v>
      </c>
      <c r="K6" s="18" t="str">
        <f>LEFT(Table1[[#This Row],[Product ID]],6)</f>
        <v>22-MAY</v>
      </c>
      <c r="L6" s="23" t="s">
        <v>116</v>
      </c>
      <c r="M6" s="32" t="str">
        <f>_xlfn.CONCAT(Table1[[#This Row],[Brand Name]]," ",Table1[[#This Row],[Cleaned Products]])</f>
        <v>North Face Backpack</v>
      </c>
    </row>
    <row r="7" spans="1:13" ht="16.5" customHeight="1" x14ac:dyDescent="0.2">
      <c r="A7" s="13" t="s">
        <v>43</v>
      </c>
      <c r="B7" s="23" t="s">
        <v>44</v>
      </c>
      <c r="C7" s="23" t="s">
        <v>45</v>
      </c>
      <c r="D7" s="14"/>
      <c r="E7" s="23" t="b">
        <f>ISBLANK(Table1[[#This Row],[Price ($)]])</f>
        <v>1</v>
      </c>
      <c r="F7" s="14">
        <f>IF(ISBLANK(Table1[[#This Row],[Price ($)]]),MEDIAN(Table1[Price ($)]),Table1[[#This Row],[Price ($)]])</f>
        <v>130</v>
      </c>
      <c r="G7" s="28">
        <v>45</v>
      </c>
      <c r="H7" s="22" t="s">
        <v>28</v>
      </c>
      <c r="I7" s="23" t="str">
        <f>IF(ISBLANK(Table1[[#This Row],[Category]]),"Unknown",Table1[[#This Row],[Category]])</f>
        <v>Electronics</v>
      </c>
      <c r="J7" s="23" t="str">
        <f>PROPER(Table1[[#This Row],[Product Name]])</f>
        <v>Headphones</v>
      </c>
      <c r="K7" s="18" t="str">
        <f>LEFT(Table1[[#This Row],[Product ID]],6)</f>
        <v>07-JUN</v>
      </c>
      <c r="L7" s="23" t="s">
        <v>117</v>
      </c>
      <c r="M7" s="32" t="str">
        <f>_xlfn.CONCAT(Table1[[#This Row],[Brand Name]]," ",Table1[[#This Row],[Cleaned Products]])</f>
        <v>Sony Headphones</v>
      </c>
    </row>
    <row r="8" spans="1:13" ht="17.25" customHeight="1" x14ac:dyDescent="0.2">
      <c r="A8" s="11" t="s">
        <v>46</v>
      </c>
      <c r="B8" s="22" t="s">
        <v>47</v>
      </c>
      <c r="C8" s="22" t="s">
        <v>48</v>
      </c>
      <c r="D8" s="12">
        <v>30</v>
      </c>
      <c r="E8" s="22" t="b">
        <f>ISBLANK(Table1[[#This Row],[Price ($)]])</f>
        <v>0</v>
      </c>
      <c r="F8" s="12">
        <f>IF(ISBLANK(Table1[[#This Row],[Price ($)]]),MEDIAN(Table1[Price ($)]),Table1[[#This Row],[Price ($)]])</f>
        <v>30</v>
      </c>
      <c r="G8" s="27">
        <v>5</v>
      </c>
      <c r="H8" s="22" t="s">
        <v>32</v>
      </c>
      <c r="I8" s="23" t="str">
        <f>IF(ISBLANK(Table1[[#This Row],[Category]]),"Unknown",Table1[[#This Row],[Category]])</f>
        <v>Fashion</v>
      </c>
      <c r="J8" s="23" t="str">
        <f>PROPER(Table1[[#This Row],[Product Name]])</f>
        <v>T-Shirt</v>
      </c>
      <c r="K8" s="18" t="str">
        <f>LEFT(Table1[[#This Row],[Product ID]],6)</f>
        <v>19-JUL</v>
      </c>
      <c r="L8" s="23" t="s">
        <v>117</v>
      </c>
      <c r="M8" s="32" t="str">
        <f>_xlfn.CONCAT(Table1[[#This Row],[Brand Name]]," ",Table1[[#This Row],[Cleaned Products]])</f>
        <v>Adidas T-Shirt</v>
      </c>
    </row>
    <row r="9" spans="1:13" ht="15.75" customHeight="1" x14ac:dyDescent="0.2">
      <c r="A9" s="13" t="s">
        <v>49</v>
      </c>
      <c r="B9" s="23" t="s">
        <v>50</v>
      </c>
      <c r="C9" s="23" t="s">
        <v>51</v>
      </c>
      <c r="D9" s="14">
        <v>90</v>
      </c>
      <c r="E9" s="23" t="b">
        <f>ISBLANK(Table1[[#This Row],[Price ($)]])</f>
        <v>0</v>
      </c>
      <c r="F9" s="14">
        <f>IF(ISBLANK(Table1[[#This Row],[Price ($)]]),MEDIAN(Table1[Price ($)]),Table1[[#This Row],[Price ($)]])</f>
        <v>90</v>
      </c>
      <c r="G9" s="28">
        <v>35</v>
      </c>
      <c r="H9" s="23" t="s">
        <v>36</v>
      </c>
      <c r="I9" s="23" t="str">
        <f>IF(ISBLANK(Table1[[#This Row],[Category]]),"Unknown",Table1[[#This Row],[Category]])</f>
        <v>Kitchen</v>
      </c>
      <c r="J9" s="23" t="str">
        <f>PROPER(Table1[[#This Row],[Product Name]])</f>
        <v>Blender</v>
      </c>
      <c r="K9" s="18" t="str">
        <f>LEFT(Table1[[#This Row],[Product ID]],6)</f>
        <v>23-AUG</v>
      </c>
      <c r="L9" s="23" t="s">
        <v>117</v>
      </c>
      <c r="M9" s="32" t="str">
        <f>_xlfn.CONCAT(Table1[[#This Row],[Brand Name]]," ",Table1[[#This Row],[Cleaned Products]])</f>
        <v>Ninja Blender</v>
      </c>
    </row>
    <row r="10" spans="1:13" ht="17.25" customHeight="1" x14ac:dyDescent="0.2">
      <c r="A10" s="11" t="s">
        <v>52</v>
      </c>
      <c r="B10" s="22" t="s">
        <v>53</v>
      </c>
      <c r="C10" s="22" t="s">
        <v>54</v>
      </c>
      <c r="D10" s="12">
        <v>500</v>
      </c>
      <c r="E10" s="22" t="b">
        <f>ISBLANK(Table1[[#This Row],[Price ($)]])</f>
        <v>0</v>
      </c>
      <c r="F10" s="12">
        <f>IF(ISBLANK(Table1[[#This Row],[Price ($)]]),MEDIAN(Table1[Price ($)]),Table1[[#This Row],[Price ($)]])</f>
        <v>500</v>
      </c>
      <c r="G10" s="27">
        <v>50</v>
      </c>
      <c r="H10" s="22" t="s">
        <v>28</v>
      </c>
      <c r="I10" s="23" t="str">
        <f>IF(ISBLANK(Table1[[#This Row],[Category]]),"Unknown",Table1[[#This Row],[Category]])</f>
        <v>Electronics</v>
      </c>
      <c r="J10" s="23" t="str">
        <f>PROPER(Table1[[#This Row],[Product Name]])</f>
        <v>Tablet</v>
      </c>
      <c r="K10" s="18" t="str">
        <f>LEFT(Table1[[#This Row],[Product ID]],6)</f>
        <v>05-SEP</v>
      </c>
      <c r="L10" s="23" t="s">
        <v>117</v>
      </c>
      <c r="M10" s="32" t="str">
        <f>_xlfn.CONCAT(Table1[[#This Row],[Brand Name]]," ",Table1[[#This Row],[Cleaned Products]])</f>
        <v>Apple Tablet</v>
      </c>
    </row>
    <row r="11" spans="1:13" ht="18" customHeight="1" x14ac:dyDescent="0.2">
      <c r="A11" s="13" t="s">
        <v>55</v>
      </c>
      <c r="B11" s="23" t="s">
        <v>56</v>
      </c>
      <c r="C11" s="23" t="s">
        <v>57</v>
      </c>
      <c r="D11" s="14">
        <v>130</v>
      </c>
      <c r="E11" s="23" t="b">
        <f>ISBLANK(Table1[[#This Row],[Price ($)]])</f>
        <v>0</v>
      </c>
      <c r="F11" s="14">
        <f>IF(ISBLANK(Table1[[#This Row],[Price ($)]]),MEDIAN(Table1[Price ($)]),Table1[[#This Row],[Price ($)]])</f>
        <v>130</v>
      </c>
      <c r="G11" s="28">
        <v>10</v>
      </c>
      <c r="H11" s="23" t="s">
        <v>58</v>
      </c>
      <c r="I11" s="23" t="str">
        <f>IF(ISBLANK(Table1[[#This Row],[Category]]),"Unknown",Table1[[#This Row],[Category]])</f>
        <v>Outdoor</v>
      </c>
      <c r="J11" s="23" t="str">
        <f>PROPER(Table1[[#This Row],[Product Name]])</f>
        <v>Hiking Boots</v>
      </c>
      <c r="K11" s="18" t="str">
        <f>LEFT(Table1[[#This Row],[Product ID]],6)</f>
        <v>14-OCT</v>
      </c>
      <c r="L11" s="23" t="s">
        <v>117</v>
      </c>
      <c r="M11" s="32" t="str">
        <f>_xlfn.CONCAT(Table1[[#This Row],[Brand Name]]," ",Table1[[#This Row],[Cleaned Products]])</f>
        <v>Timberland Hiking Boots</v>
      </c>
    </row>
    <row r="12" spans="1:13" ht="17.25" customHeight="1" x14ac:dyDescent="0.2">
      <c r="A12" s="11" t="s">
        <v>59</v>
      </c>
      <c r="B12" s="22" t="s">
        <v>60</v>
      </c>
      <c r="C12" s="22" t="s">
        <v>61</v>
      </c>
      <c r="D12" s="12">
        <v>950</v>
      </c>
      <c r="E12" s="22" t="b">
        <f>ISBLANK(Table1[[#This Row],[Price ($)]])</f>
        <v>0</v>
      </c>
      <c r="F12" s="12">
        <f>IF(ISBLANK(Table1[[#This Row],[Price ($)]]),MEDIAN(Table1[Price ($)]),Table1[[#This Row],[Price ($)]])</f>
        <v>950</v>
      </c>
      <c r="G12" s="27">
        <v>25</v>
      </c>
      <c r="H12" s="22" t="s">
        <v>28</v>
      </c>
      <c r="I12" s="23" t="str">
        <f>IF(ISBLANK(Table1[[#This Row],[Category]]),"Unknown",Table1[[#This Row],[Category]])</f>
        <v>Electronics</v>
      </c>
      <c r="J12" s="23" t="str">
        <f>PROPER(Table1[[#This Row],[Product Name]])</f>
        <v>Laptop</v>
      </c>
      <c r="K12" s="18" t="str">
        <f>LEFT(Table1[[#This Row],[Product ID]],6)</f>
        <v>17-JUN</v>
      </c>
      <c r="L12" s="23" t="s">
        <v>118</v>
      </c>
      <c r="M12" s="32" t="str">
        <f>_xlfn.CONCAT(Table1[[#This Row],[Brand Name]]," ",Table1[[#This Row],[Cleaned Products]])</f>
        <v>HP Laptop</v>
      </c>
    </row>
    <row r="13" spans="1:13" ht="15" customHeight="1" x14ac:dyDescent="0.2">
      <c r="A13" s="13" t="s">
        <v>62</v>
      </c>
      <c r="B13" s="23" t="s">
        <v>30</v>
      </c>
      <c r="C13" s="23" t="s">
        <v>48</v>
      </c>
      <c r="D13" s="14">
        <v>90</v>
      </c>
      <c r="E13" s="23" t="b">
        <f>ISBLANK(Table1[[#This Row],[Price ($)]])</f>
        <v>0</v>
      </c>
      <c r="F13" s="14">
        <f>IF(ISBLANK(Table1[[#This Row],[Price ($)]]),MEDIAN(Table1[Price ($)]),Table1[[#This Row],[Price ($)]])</f>
        <v>90</v>
      </c>
      <c r="G13" s="28">
        <v>40</v>
      </c>
      <c r="H13" s="23"/>
      <c r="I13" s="23" t="str">
        <f>IF(ISBLANK(Table1[[#This Row],[Category]]),"Unknown",Table1[[#This Row],[Category]])</f>
        <v>Unknown</v>
      </c>
      <c r="J13" s="23" t="str">
        <f>PROPER(Table1[[#This Row],[Product Name]])</f>
        <v>Sneakers</v>
      </c>
      <c r="K13" s="18" t="str">
        <f>LEFT(Table1[[#This Row],[Product ID]],6)</f>
        <v>25-NOV</v>
      </c>
      <c r="L13" s="23" t="s">
        <v>119</v>
      </c>
      <c r="M13" s="32" t="str">
        <f>_xlfn.CONCAT(Table1[[#This Row],[Brand Name]]," ",Table1[[#This Row],[Cleaned Products]])</f>
        <v>Adidas Sneakers</v>
      </c>
    </row>
    <row r="14" spans="1:13" ht="17.25" customHeight="1" x14ac:dyDescent="0.2">
      <c r="A14" s="11" t="s">
        <v>63</v>
      </c>
      <c r="B14" s="22" t="s">
        <v>34</v>
      </c>
      <c r="C14" s="22" t="s">
        <v>64</v>
      </c>
      <c r="D14" s="12">
        <v>120</v>
      </c>
      <c r="E14" s="22" t="b">
        <f>ISBLANK(Table1[[#This Row],[Price ($)]])</f>
        <v>0</v>
      </c>
      <c r="F14" s="12">
        <f>IF(ISBLANK(Table1[[#This Row],[Price ($)]]),MEDIAN(Table1[Price ($)]),Table1[[#This Row],[Price ($)]])</f>
        <v>120</v>
      </c>
      <c r="G14" s="27">
        <v>35</v>
      </c>
      <c r="H14" s="22"/>
      <c r="I14" s="23" t="str">
        <f>IF(ISBLANK(Table1[[#This Row],[Category]]),"Unknown",Table1[[#This Row],[Category]])</f>
        <v>Unknown</v>
      </c>
      <c r="J14" s="23" t="str">
        <f>PROPER(Table1[[#This Row],[Product Name]])</f>
        <v>Coffee Maker</v>
      </c>
      <c r="K14" s="18" t="str">
        <f>LEFT(Table1[[#This Row],[Product ID]],6)</f>
        <v>08-DEC</v>
      </c>
      <c r="L14" s="23" t="s">
        <v>120</v>
      </c>
      <c r="M14" s="32" t="str">
        <f>_xlfn.CONCAT(Table1[[#This Row],[Brand Name]]," ",Table1[[#This Row],[Cleaned Products]])</f>
        <v>Nespresso Coffee Maker</v>
      </c>
    </row>
    <row r="15" spans="1:13" ht="17.25" customHeight="1" x14ac:dyDescent="0.2">
      <c r="A15" s="13" t="s">
        <v>65</v>
      </c>
      <c r="B15" s="23" t="s">
        <v>66</v>
      </c>
      <c r="C15" s="23" t="s">
        <v>67</v>
      </c>
      <c r="D15" s="14">
        <v>150</v>
      </c>
      <c r="E15" s="23" t="b">
        <f>ISBLANK(Table1[[#This Row],[Price ($)]])</f>
        <v>0</v>
      </c>
      <c r="F15" s="14">
        <f>IF(ISBLANK(Table1[[#This Row],[Price ($)]]),MEDIAN(Table1[Price ($)]),Table1[[#This Row],[Price ($)]])</f>
        <v>150</v>
      </c>
      <c r="G15" s="28">
        <v>15</v>
      </c>
      <c r="H15" s="22" t="s">
        <v>28</v>
      </c>
      <c r="I15" s="23" t="str">
        <f>IF(ISBLANK(Table1[[#This Row],[Category]]),"Unknown",Table1[[#This Row],[Category]])</f>
        <v>Electronics</v>
      </c>
      <c r="J15" s="23" t="str">
        <f>PROPER(Table1[[#This Row],[Product Name]])</f>
        <v>Smartwatch</v>
      </c>
      <c r="K15" s="18" t="str">
        <f>LEFT(Table1[[#This Row],[Product ID]],6)</f>
        <v>18-FEB</v>
      </c>
      <c r="L15" s="23" t="s">
        <v>121</v>
      </c>
      <c r="M15" s="32" t="str">
        <f>_xlfn.CONCAT(Table1[[#This Row],[Brand Name]]," ",Table1[[#This Row],[Cleaned Products]])</f>
        <v>Fitbit Smartwatch</v>
      </c>
    </row>
    <row r="16" spans="1:13" ht="18" customHeight="1" x14ac:dyDescent="0.2">
      <c r="A16" s="11" t="s">
        <v>68</v>
      </c>
      <c r="B16" s="22" t="s">
        <v>69</v>
      </c>
      <c r="C16" s="22" t="s">
        <v>70</v>
      </c>
      <c r="D16" s="12">
        <v>250</v>
      </c>
      <c r="E16" s="22" t="b">
        <f>ISBLANK(Table1[[#This Row],[Price ($)]])</f>
        <v>0</v>
      </c>
      <c r="F16" s="12">
        <f>IF(ISBLANK(Table1[[#This Row],[Price ($)]]),MEDIAN(Table1[Price ($)]),Table1[[#This Row],[Price ($)]])</f>
        <v>250</v>
      </c>
      <c r="G16" s="27">
        <v>20</v>
      </c>
      <c r="H16" s="22" t="s">
        <v>28</v>
      </c>
      <c r="I16" s="23" t="str">
        <f>IF(ISBLANK(Table1[[#This Row],[Category]]),"Unknown",Table1[[#This Row],[Category]])</f>
        <v>Electronics</v>
      </c>
      <c r="J16" s="23" t="str">
        <f>PROPER(Table1[[#This Row],[Product Name]])</f>
        <v>Headphones</v>
      </c>
      <c r="K16" s="18" t="str">
        <f>LEFT(Table1[[#This Row],[Product ID]],6)</f>
        <v>16-APR</v>
      </c>
      <c r="L16" s="23" t="s">
        <v>122</v>
      </c>
      <c r="M16" s="32" t="str">
        <f>_xlfn.CONCAT(Table1[[#This Row],[Brand Name]]," ",Table1[[#This Row],[Cleaned Products]])</f>
        <v>Bose Headphones</v>
      </c>
    </row>
    <row r="17" spans="1:13" ht="18" customHeight="1" x14ac:dyDescent="0.2">
      <c r="A17" s="13" t="s">
        <v>71</v>
      </c>
      <c r="B17" s="23" t="s">
        <v>72</v>
      </c>
      <c r="C17" s="23"/>
      <c r="D17" s="14">
        <v>50</v>
      </c>
      <c r="E17" s="23" t="b">
        <f>ISBLANK(Table1[[#This Row],[Price ($)]])</f>
        <v>0</v>
      </c>
      <c r="F17" s="14">
        <f>IF(ISBLANK(Table1[[#This Row],[Price ($)]]),MEDIAN(Table1[Price ($)]),Table1[[#This Row],[Price ($)]])</f>
        <v>50</v>
      </c>
      <c r="G17" s="28">
        <v>35</v>
      </c>
      <c r="H17" s="23" t="s">
        <v>73</v>
      </c>
      <c r="I17" s="23" t="str">
        <f>IF(ISBLANK(Table1[[#This Row],[Category]]),"Unknown",Table1[[#This Row],[Category]])</f>
        <v>Accessories</v>
      </c>
      <c r="J17" s="23" t="str">
        <f>PROPER(Table1[[#This Row],[Product Name]])</f>
        <v>Laptop Bag</v>
      </c>
      <c r="K17" s="18" t="str">
        <f>LEFT(Table1[[#This Row],[Product ID]],6)</f>
        <v>21-AUG</v>
      </c>
      <c r="L17" s="23" t="s">
        <v>121</v>
      </c>
      <c r="M17" s="32" t="str">
        <f>_xlfn.CONCAT(Table1[[#This Row],[Brand Name]]," ",Table1[[#This Row],[Cleaned Products]])</f>
        <v xml:space="preserve"> Laptop Bag</v>
      </c>
    </row>
    <row r="18" spans="1:13" ht="18" customHeight="1" x14ac:dyDescent="0.2">
      <c r="A18" s="11" t="s">
        <v>74</v>
      </c>
      <c r="B18" s="22" t="s">
        <v>66</v>
      </c>
      <c r="C18" s="22" t="s">
        <v>75</v>
      </c>
      <c r="D18" s="12">
        <v>160</v>
      </c>
      <c r="E18" s="22" t="b">
        <f>ISBLANK(Table1[[#This Row],[Price ($)]])</f>
        <v>0</v>
      </c>
      <c r="F18" s="12">
        <f>IF(ISBLANK(Table1[[#This Row],[Price ($)]]),MEDIAN(Table1[Price ($)]),Table1[[#This Row],[Price ($)]])</f>
        <v>160</v>
      </c>
      <c r="G18" s="27">
        <v>15</v>
      </c>
      <c r="H18" s="22" t="s">
        <v>28</v>
      </c>
      <c r="I18" s="23" t="str">
        <f>IF(ISBLANK(Table1[[#This Row],[Category]]),"Unknown",Table1[[#This Row],[Category]])</f>
        <v>Electronics</v>
      </c>
      <c r="J18" s="23" t="str">
        <f>PROPER(Table1[[#This Row],[Product Name]])</f>
        <v>Smartwatch</v>
      </c>
      <c r="K18" s="18" t="str">
        <f>LEFT(Table1[[#This Row],[Product ID]],6)</f>
        <v>20-AUG</v>
      </c>
      <c r="L18" s="23" t="s">
        <v>123</v>
      </c>
      <c r="M18" s="32" t="str">
        <f>_xlfn.CONCAT(Table1[[#This Row],[Brand Name]]," ",Table1[[#This Row],[Cleaned Products]])</f>
        <v>Huawei Smartwatch</v>
      </c>
    </row>
    <row r="19" spans="1:13" ht="16.5" customHeight="1" x14ac:dyDescent="0.2">
      <c r="A19" s="13" t="s">
        <v>76</v>
      </c>
      <c r="B19" s="23" t="s">
        <v>26</v>
      </c>
      <c r="C19" s="23" t="s">
        <v>77</v>
      </c>
      <c r="D19" s="14">
        <v>980</v>
      </c>
      <c r="E19" s="23" t="b">
        <f>ISBLANK(Table1[[#This Row],[Price ($)]])</f>
        <v>0</v>
      </c>
      <c r="F19" s="14">
        <f>IF(ISBLANK(Table1[[#This Row],[Price ($)]]),MEDIAN(Table1[Price ($)]),Table1[[#This Row],[Price ($)]])</f>
        <v>980</v>
      </c>
      <c r="G19" s="28">
        <v>10</v>
      </c>
      <c r="H19" s="23" t="s">
        <v>28</v>
      </c>
      <c r="I19" s="23" t="str">
        <f>IF(ISBLANK(Table1[[#This Row],[Category]]),"Unknown",Table1[[#This Row],[Category]])</f>
        <v>Electronics</v>
      </c>
      <c r="J19" s="23" t="str">
        <f>PROPER(Table1[[#This Row],[Product Name]])</f>
        <v>Laptop</v>
      </c>
      <c r="K19" s="18" t="str">
        <f>LEFT(Table1[[#This Row],[Product ID]],6)</f>
        <v>27-JAN</v>
      </c>
      <c r="L19" s="23" t="s">
        <v>124</v>
      </c>
      <c r="M19" s="32" t="str">
        <f>_xlfn.CONCAT(Table1[[#This Row],[Brand Name]]," ",Table1[[#This Row],[Cleaned Products]])</f>
        <v>Asus Laptop</v>
      </c>
    </row>
    <row r="20" spans="1:13" ht="17.25" customHeight="1" x14ac:dyDescent="0.2">
      <c r="A20" s="11" t="s">
        <v>78</v>
      </c>
      <c r="B20" s="22" t="s">
        <v>79</v>
      </c>
      <c r="C20" s="22" t="s">
        <v>80</v>
      </c>
      <c r="D20" s="12">
        <v>150</v>
      </c>
      <c r="E20" s="22" t="b">
        <f>ISBLANK(Table1[[#This Row],[Price ($)]])</f>
        <v>0</v>
      </c>
      <c r="F20" s="12">
        <f>IF(ISBLANK(Table1[[#This Row],[Price ($)]]),MEDIAN(Table1[Price ($)]),Table1[[#This Row],[Price ($)]])</f>
        <v>150</v>
      </c>
      <c r="G20" s="27">
        <v>15</v>
      </c>
      <c r="H20" s="22" t="s">
        <v>32</v>
      </c>
      <c r="I20" s="23" t="str">
        <f>IF(ISBLANK(Table1[[#This Row],[Category]]),"Unknown",Table1[[#This Row],[Category]])</f>
        <v>Fashion</v>
      </c>
      <c r="J20" s="23" t="str">
        <f>PROPER(Table1[[#This Row],[Product Name]])</f>
        <v>Sunglasses</v>
      </c>
      <c r="K20" s="18" t="str">
        <f>LEFT(Table1[[#This Row],[Product ID]],6)</f>
        <v>01-MAR</v>
      </c>
      <c r="L20" s="23" t="s">
        <v>117</v>
      </c>
      <c r="M20" s="32" t="str">
        <f>_xlfn.CONCAT(Table1[[#This Row],[Brand Name]]," ",Table1[[#This Row],[Cleaned Products]])</f>
        <v>Oakley Sunglasses</v>
      </c>
    </row>
    <row r="21" spans="1:13" ht="17.25" customHeight="1" x14ac:dyDescent="0.2">
      <c r="A21" s="13" t="s">
        <v>81</v>
      </c>
      <c r="B21" s="23" t="s">
        <v>82</v>
      </c>
      <c r="C21" s="23" t="s">
        <v>83</v>
      </c>
      <c r="D21" s="14"/>
      <c r="E21" s="23" t="b">
        <f>ISBLANK(Table1[[#This Row],[Price ($)]])</f>
        <v>1</v>
      </c>
      <c r="F21" s="14">
        <f>IF(ISBLANK(Table1[[#This Row],[Price ($)]]),MEDIAN(Table1[Price ($)]),Table1[[#This Row],[Price ($)]])</f>
        <v>130</v>
      </c>
      <c r="G21" s="28">
        <v>10</v>
      </c>
      <c r="H21" s="23" t="s">
        <v>58</v>
      </c>
      <c r="I21" s="23" t="str">
        <f>IF(ISBLANK(Table1[[#This Row],[Category]]),"Unknown",Table1[[#This Row],[Category]])</f>
        <v>Outdoor</v>
      </c>
      <c r="J21" s="23" t="str">
        <f>PROPER(Table1[[#This Row],[Product Name]])</f>
        <v>Camping Tent</v>
      </c>
      <c r="K21" s="18" t="str">
        <f>LEFT(Table1[[#This Row],[Product ID]],6)</f>
        <v>14-AUG</v>
      </c>
      <c r="L21" s="23" t="s">
        <v>116</v>
      </c>
      <c r="M21" s="32" t="str">
        <f>_xlfn.CONCAT(Table1[[#This Row],[Brand Name]]," ",Table1[[#This Row],[Cleaned Products]])</f>
        <v>Coleman Camping Tent</v>
      </c>
    </row>
    <row r="22" spans="1:13" ht="18" customHeight="1" x14ac:dyDescent="0.2">
      <c r="A22" s="11" t="s">
        <v>84</v>
      </c>
      <c r="B22" s="22" t="s">
        <v>85</v>
      </c>
      <c r="C22" s="22" t="s">
        <v>86</v>
      </c>
      <c r="D22" s="12">
        <v>700</v>
      </c>
      <c r="E22" s="22" t="b">
        <f>ISBLANK(Table1[[#This Row],[Price ($)]])</f>
        <v>0</v>
      </c>
      <c r="F22" s="12">
        <f>IF(ISBLANK(Table1[[#This Row],[Price ($)]]),MEDIAN(Table1[Price ($)]),Table1[[#This Row],[Price ($)]])</f>
        <v>700</v>
      </c>
      <c r="G22" s="27">
        <v>50</v>
      </c>
      <c r="H22" s="22" t="s">
        <v>28</v>
      </c>
      <c r="I22" s="23" t="str">
        <f>IF(ISBLANK(Table1[[#This Row],[Category]]),"Unknown",Table1[[#This Row],[Category]])</f>
        <v>Electronics</v>
      </c>
      <c r="J22" s="23" t="str">
        <f>PROPER(Table1[[#This Row],[Product Name]])</f>
        <v>Camera</v>
      </c>
      <c r="K22" s="18" t="str">
        <f>LEFT(Table1[[#This Row],[Product ID]],6)</f>
        <v>14-MAY</v>
      </c>
      <c r="L22" s="23" t="s">
        <v>125</v>
      </c>
      <c r="M22" s="32" t="str">
        <f>_xlfn.CONCAT(Table1[[#This Row],[Brand Name]]," ",Table1[[#This Row],[Cleaned Products]])</f>
        <v>Nikon Camera</v>
      </c>
    </row>
    <row r="23" spans="1:13" ht="17.25" customHeight="1" x14ac:dyDescent="0.2">
      <c r="A23" s="13" t="s">
        <v>87</v>
      </c>
      <c r="B23" s="23" t="s">
        <v>88</v>
      </c>
      <c r="C23" s="23" t="s">
        <v>89</v>
      </c>
      <c r="D23" s="14">
        <v>80</v>
      </c>
      <c r="E23" s="23" t="b">
        <f>ISBLANK(Table1[[#This Row],[Price ($)]])</f>
        <v>0</v>
      </c>
      <c r="F23" s="14">
        <f>IF(ISBLANK(Table1[[#This Row],[Price ($)]]),MEDIAN(Table1[Price ($)]),Table1[[#This Row],[Price ($)]])</f>
        <v>80</v>
      </c>
      <c r="G23" s="28">
        <v>20</v>
      </c>
      <c r="H23" s="23" t="s">
        <v>36</v>
      </c>
      <c r="I23" s="23" t="str">
        <f>IF(ISBLANK(Table1[[#This Row],[Category]]),"Unknown",Table1[[#This Row],[Category]])</f>
        <v>Kitchen</v>
      </c>
      <c r="J23" s="23" t="str">
        <f>PROPER(Table1[[#This Row],[Product Name]])</f>
        <v>Microwave</v>
      </c>
      <c r="K23" s="18" t="str">
        <f>LEFT(Table1[[#This Row],[Product ID]],6)</f>
        <v>09-JAN</v>
      </c>
      <c r="L23" s="23" t="s">
        <v>121</v>
      </c>
      <c r="M23" s="32" t="str">
        <f>_xlfn.CONCAT(Table1[[#This Row],[Brand Name]]," ",Table1[[#This Row],[Cleaned Products]])</f>
        <v>Panasonic Microwave</v>
      </c>
    </row>
    <row r="24" spans="1:13" ht="18.75" customHeight="1" x14ac:dyDescent="0.2">
      <c r="A24" s="11" t="s">
        <v>90</v>
      </c>
      <c r="B24" s="22" t="s">
        <v>91</v>
      </c>
      <c r="C24" s="22" t="s">
        <v>92</v>
      </c>
      <c r="D24" s="12">
        <v>150</v>
      </c>
      <c r="E24" s="22" t="b">
        <f>ISBLANK(Table1[[#This Row],[Price ($)]])</f>
        <v>0</v>
      </c>
      <c r="F24" s="12">
        <f>IF(ISBLANK(Table1[[#This Row],[Price ($)]]),MEDIAN(Table1[Price ($)]),Table1[[#This Row],[Price ($)]])</f>
        <v>150</v>
      </c>
      <c r="G24" s="27">
        <v>30</v>
      </c>
      <c r="H24" s="22"/>
      <c r="I24" s="23" t="str">
        <f>IF(ISBLANK(Table1[[#This Row],[Category]]),"Unknown",Table1[[#This Row],[Category]])</f>
        <v>Unknown</v>
      </c>
      <c r="J24" s="23" t="str">
        <f>PROPER(Table1[[#This Row],[Product Name]])</f>
        <v>Fitness Tracker</v>
      </c>
      <c r="K24" s="18" t="str">
        <f>LEFT(Table1[[#This Row],[Product ID]],6)</f>
        <v>19-JUL</v>
      </c>
      <c r="L24" s="23" t="s">
        <v>126</v>
      </c>
      <c r="M24" s="32" t="str">
        <f>_xlfn.CONCAT(Table1[[#This Row],[Brand Name]]," ",Table1[[#This Row],[Cleaned Products]])</f>
        <v>Xiaomi Fitness Tracker</v>
      </c>
    </row>
    <row r="25" spans="1:13" ht="17.25" customHeight="1" x14ac:dyDescent="0.2">
      <c r="A25" s="11" t="s">
        <v>93</v>
      </c>
      <c r="B25" s="22" t="s">
        <v>94</v>
      </c>
      <c r="C25" s="22" t="s">
        <v>95</v>
      </c>
      <c r="D25" s="12">
        <v>800</v>
      </c>
      <c r="E25" s="22" t="b">
        <f>ISBLANK(Table1[[#This Row],[Price ($)]])</f>
        <v>0</v>
      </c>
      <c r="F25" s="12">
        <f>IF(ISBLANK(Table1[[#This Row],[Price ($)]]),MEDIAN(Table1[Price ($)]),Table1[[#This Row],[Price ($)]])</f>
        <v>800</v>
      </c>
      <c r="G25" s="27">
        <v>45</v>
      </c>
      <c r="H25" s="22" t="s">
        <v>28</v>
      </c>
      <c r="I25" s="23" t="str">
        <f>IF(ISBLANK(Table1[[#This Row],[Category]]),"Unknown",Table1[[#This Row],[Category]])</f>
        <v>Electronics</v>
      </c>
      <c r="J25" s="23" t="str">
        <f>PROPER(Table1[[#This Row],[Product Name]])</f>
        <v>Smartphone</v>
      </c>
      <c r="K25" s="18" t="str">
        <f>LEFT(Table1[[#This Row],[Product ID]],6)</f>
        <v>29-SEP</v>
      </c>
      <c r="L25" s="23" t="s">
        <v>121</v>
      </c>
      <c r="M25" s="32" t="str">
        <f>_xlfn.CONCAT(Table1[[#This Row],[Brand Name]]," ",Table1[[#This Row],[Cleaned Products]])</f>
        <v>Google Smartphone</v>
      </c>
    </row>
    <row r="26" spans="1:13" ht="17.25" customHeight="1" x14ac:dyDescent="0.2">
      <c r="A26" s="13" t="s">
        <v>96</v>
      </c>
      <c r="B26" s="23" t="s">
        <v>79</v>
      </c>
      <c r="C26" s="23" t="s">
        <v>97</v>
      </c>
      <c r="D26" s="14"/>
      <c r="E26" s="23" t="b">
        <f>ISBLANK(Table1[[#This Row],[Price ($)]])</f>
        <v>1</v>
      </c>
      <c r="F26" s="14">
        <f>IF(ISBLANK(Table1[[#This Row],[Price ($)]]),MEDIAN(Table1[Price ($)]),Table1[[#This Row],[Price ($)]])</f>
        <v>130</v>
      </c>
      <c r="G26" s="28">
        <v>25</v>
      </c>
      <c r="H26" s="23" t="s">
        <v>32</v>
      </c>
      <c r="I26" s="23" t="str">
        <f>IF(ISBLANK(Table1[[#This Row],[Category]]),"Unknown",Table1[[#This Row],[Category]])</f>
        <v>Fashion</v>
      </c>
      <c r="J26" s="23" t="str">
        <f>PROPER(Table1[[#This Row],[Product Name]])</f>
        <v>Sunglasses</v>
      </c>
      <c r="K26" s="18" t="str">
        <f>LEFT(Table1[[#This Row],[Product ID]],6)</f>
        <v>03-JUN</v>
      </c>
      <c r="L26" s="23" t="s">
        <v>121</v>
      </c>
      <c r="M26" s="32" t="str">
        <f>_xlfn.CONCAT(Table1[[#This Row],[Brand Name]]," ",Table1[[#This Row],[Cleaned Products]])</f>
        <v>Ray-Ban Sunglasses</v>
      </c>
    </row>
    <row r="27" spans="1:13" ht="18" customHeight="1" x14ac:dyDescent="0.2">
      <c r="A27" s="11" t="s">
        <v>98</v>
      </c>
      <c r="B27" s="22" t="s">
        <v>50</v>
      </c>
      <c r="C27" s="22" t="s">
        <v>99</v>
      </c>
      <c r="D27" s="12">
        <v>400</v>
      </c>
      <c r="E27" s="22" t="b">
        <f>ISBLANK(Table1[[#This Row],[Price ($)]])</f>
        <v>0</v>
      </c>
      <c r="F27" s="12">
        <f>IF(ISBLANK(Table1[[#This Row],[Price ($)]]),MEDIAN(Table1[Price ($)]),Table1[[#This Row],[Price ($)]])</f>
        <v>400</v>
      </c>
      <c r="G27" s="27">
        <v>40</v>
      </c>
      <c r="H27" s="22" t="s">
        <v>36</v>
      </c>
      <c r="I27" s="23" t="str">
        <f>IF(ISBLANK(Table1[[#This Row],[Category]]),"Unknown",Table1[[#This Row],[Category]])</f>
        <v>Kitchen</v>
      </c>
      <c r="J27" s="23" t="str">
        <f>PROPER(Table1[[#This Row],[Product Name]])</f>
        <v>Blender</v>
      </c>
      <c r="K27" s="18" t="str">
        <f>LEFT(Table1[[#This Row],[Product ID]],6)</f>
        <v>11-JUL</v>
      </c>
      <c r="L27" s="23" t="s">
        <v>121</v>
      </c>
      <c r="M27" s="32" t="str">
        <f>_xlfn.CONCAT(Table1[[#This Row],[Brand Name]]," ",Table1[[#This Row],[Cleaned Products]])</f>
        <v>Vitamix Blender</v>
      </c>
    </row>
    <row r="28" spans="1:13" ht="18.75" customHeight="1" x14ac:dyDescent="0.2">
      <c r="A28" s="11" t="s">
        <v>100</v>
      </c>
      <c r="B28" s="22" t="s">
        <v>101</v>
      </c>
      <c r="C28" s="22" t="s">
        <v>102</v>
      </c>
      <c r="D28" s="12">
        <v>60</v>
      </c>
      <c r="E28" s="22" t="b">
        <f>ISBLANK(Table1[[#This Row],[Price ($)]])</f>
        <v>0</v>
      </c>
      <c r="F28" s="12">
        <f>IF(ISBLANK(Table1[[#This Row],[Price ($)]]),MEDIAN(Table1[Price ($)]),Table1[[#This Row],[Price ($)]])</f>
        <v>60</v>
      </c>
      <c r="G28" s="27">
        <v>30</v>
      </c>
      <c r="H28" s="22" t="s">
        <v>32</v>
      </c>
      <c r="I28" s="23" t="str">
        <f>IF(ISBLANK(Table1[[#This Row],[Category]]),"Unknown",Table1[[#This Row],[Category]])</f>
        <v>Fashion</v>
      </c>
      <c r="J28" s="23" t="str">
        <f>PROPER(Table1[[#This Row],[Product Name]])</f>
        <v>Dress</v>
      </c>
      <c r="K28" s="18" t="str">
        <f>LEFT(Table1[[#This Row],[Product ID]],6)</f>
        <v>07-MAR</v>
      </c>
      <c r="L28" s="23" t="s">
        <v>121</v>
      </c>
      <c r="M28" s="32" t="str">
        <f>_xlfn.CONCAT(Table1[[#This Row],[Brand Name]]," ",Table1[[#This Row],[Cleaned Products]])</f>
        <v>Zara Dress</v>
      </c>
    </row>
    <row r="29" spans="1:13" ht="17.25" customHeight="1" x14ac:dyDescent="0.2">
      <c r="A29" s="13" t="s">
        <v>103</v>
      </c>
      <c r="B29" s="23" t="s">
        <v>104</v>
      </c>
      <c r="C29" s="23" t="s">
        <v>105</v>
      </c>
      <c r="D29" s="14">
        <v>40</v>
      </c>
      <c r="E29" s="23" t="b">
        <f>ISBLANK(Table1[[#This Row],[Price ($)]])</f>
        <v>0</v>
      </c>
      <c r="F29" s="14">
        <f>IF(ISBLANK(Table1[[#This Row],[Price ($)]]),MEDIAN(Table1[Price ($)]),Table1[[#This Row],[Price ($)]])</f>
        <v>40</v>
      </c>
      <c r="G29" s="28">
        <v>10</v>
      </c>
      <c r="H29" s="23" t="s">
        <v>36</v>
      </c>
      <c r="I29" s="23" t="str">
        <f>IF(ISBLANK(Table1[[#This Row],[Category]]),"Unknown",Table1[[#This Row],[Category]])</f>
        <v>Kitchen</v>
      </c>
      <c r="J29" s="23" t="str">
        <f>PROPER(Table1[[#This Row],[Product Name]])</f>
        <v>Toaster</v>
      </c>
      <c r="K29" s="18" t="str">
        <f>LEFT(Table1[[#This Row],[Product ID]],6)</f>
        <v>13-APR</v>
      </c>
      <c r="L29" s="23" t="s">
        <v>121</v>
      </c>
      <c r="M29" s="32" t="str">
        <f>_xlfn.CONCAT(Table1[[#This Row],[Brand Name]]," ",Table1[[#This Row],[Cleaned Products]])</f>
        <v>Hamilton Toaster</v>
      </c>
    </row>
    <row r="30" spans="1:13" ht="18.75" customHeight="1" x14ac:dyDescent="0.2">
      <c r="A30" s="11" t="s">
        <v>106</v>
      </c>
      <c r="B30" s="22" t="s">
        <v>91</v>
      </c>
      <c r="C30" s="22" t="s">
        <v>107</v>
      </c>
      <c r="D30" s="12">
        <v>130</v>
      </c>
      <c r="E30" s="22" t="b">
        <f>ISBLANK(Table1[[#This Row],[Price ($)]])</f>
        <v>0</v>
      </c>
      <c r="F30" s="12">
        <f>IF(ISBLANK(Table1[[#This Row],[Price ($)]]),MEDIAN(Table1[Price ($)]),Table1[[#This Row],[Price ($)]])</f>
        <v>130</v>
      </c>
      <c r="G30" s="27">
        <v>5</v>
      </c>
      <c r="H30" s="22" t="s">
        <v>28</v>
      </c>
      <c r="I30" s="23" t="str">
        <f>IF(ISBLANK(Table1[[#This Row],[Category]]),"Unknown",Table1[[#This Row],[Category]])</f>
        <v>Electronics</v>
      </c>
      <c r="J30" s="23" t="str">
        <f>PROPER(Table1[[#This Row],[Product Name]])</f>
        <v>Fitness Tracker</v>
      </c>
      <c r="K30" s="18" t="str">
        <f>LEFT(Table1[[#This Row],[Product ID]],6)</f>
        <v>24-MAY</v>
      </c>
      <c r="L30" s="23" t="s">
        <v>121</v>
      </c>
      <c r="M30" s="32" t="str">
        <f>_xlfn.CONCAT(Table1[[#This Row],[Brand Name]]," ",Table1[[#This Row],[Cleaned Products]])</f>
        <v>Garmin Fitness Tracker</v>
      </c>
    </row>
    <row r="31" spans="1:13" ht="18" customHeight="1" x14ac:dyDescent="0.2">
      <c r="A31" s="13" t="s">
        <v>108</v>
      </c>
      <c r="B31" s="23" t="s">
        <v>109</v>
      </c>
      <c r="C31" s="23" t="s">
        <v>110</v>
      </c>
      <c r="D31" s="14">
        <v>50</v>
      </c>
      <c r="E31" s="23" t="b">
        <f>ISBLANK(Table1[[#This Row],[Price ($)]])</f>
        <v>0</v>
      </c>
      <c r="F31" s="14">
        <f>IF(ISBLANK(Table1[[#This Row],[Price ($)]]),MEDIAN(Table1[Price ($)]),Table1[[#This Row],[Price ($)]])</f>
        <v>50</v>
      </c>
      <c r="G31" s="28">
        <v>50</v>
      </c>
      <c r="H31" s="23" t="s">
        <v>32</v>
      </c>
      <c r="I31" s="23" t="str">
        <f>IF(ISBLANK(Table1[[#This Row],[Category]]),"Unknown",Table1[[#This Row],[Category]])</f>
        <v>Fashion</v>
      </c>
      <c r="J31" s="23" t="str">
        <f>PROPER(Table1[[#This Row],[Product Name]])</f>
        <v>Jeans</v>
      </c>
      <c r="K31" s="18" t="str">
        <f>LEFT(Table1[[#This Row],[Product ID]],6)</f>
        <v>02-DEC</v>
      </c>
      <c r="L31" s="23" t="s">
        <v>121</v>
      </c>
      <c r="M31" s="32" t="str">
        <f>_xlfn.CONCAT(Table1[[#This Row],[Brand Name]]," ",Table1[[#This Row],[Cleaned Products]])</f>
        <v>Levi's Jeans</v>
      </c>
    </row>
    <row r="32" spans="1:13" ht="18.75" customHeight="1" x14ac:dyDescent="0.2">
      <c r="A32" s="15" t="s">
        <v>111</v>
      </c>
      <c r="B32" s="24" t="s">
        <v>112</v>
      </c>
      <c r="C32" s="24" t="s">
        <v>113</v>
      </c>
      <c r="D32" s="16">
        <v>100</v>
      </c>
      <c r="E32" s="24" t="b">
        <f>ISBLANK(Table1[[#This Row],[Price ($)]])</f>
        <v>0</v>
      </c>
      <c r="F32" s="16">
        <f>IF(ISBLANK(Table1[[#This Row],[Price ($)]]),MEDIAN(Table1[Price ($)]),Table1[[#This Row],[Price ($)]])</f>
        <v>100</v>
      </c>
      <c r="G32" s="29">
        <v>20</v>
      </c>
      <c r="H32" s="24" t="s">
        <v>73</v>
      </c>
      <c r="I32" s="24" t="str">
        <f>IF(ISBLANK(Table1[[#This Row],[Category]]),"Unknown",Table1[[#This Row],[Category]])</f>
        <v>Accessories</v>
      </c>
      <c r="J32" s="24" t="str">
        <f>PROPER(Table1[[#This Row],[Product Name]])</f>
        <v>Watch</v>
      </c>
      <c r="K32" s="19" t="str">
        <f>LEFT(Table1[[#This Row],[Product ID]],6)</f>
        <v>09-JUL</v>
      </c>
      <c r="L32" s="24" t="s">
        <v>127</v>
      </c>
      <c r="M32" s="33" t="str">
        <f>_xlfn.CONCAT(Table1[[#This Row],[Brand Name]]," ",Table1[[#This Row],[Cleaned Products]])</f>
        <v>Casio Watch</v>
      </c>
    </row>
  </sheetData>
  <phoneticPr fontId="8" type="noConversion"/>
  <conditionalFormatting sqref="E1:E1048576">
    <cfRule type="containsText" dxfId="12" priority="1" operator="containsText" text="TRUE">
      <formula>NOT(ISERROR(SEARCH("TRUE",E1)))</formula>
    </cfRule>
  </conditionalFormatting>
  <conditionalFormatting sqref="F1:F1048576">
    <cfRule type="colorScale" priority="3">
      <colorScale>
        <cfvo type="min"/>
        <cfvo type="percentile" val="50"/>
        <cfvo type="percent" val="100"/>
        <color rgb="FF4DD567"/>
        <color rgb="FFE4B60E"/>
        <color rgb="FFF93627"/>
      </colorScale>
    </cfRule>
  </conditionalFormatting>
  <conditionalFormatting sqref="I2:I32">
    <cfRule type="containsText" dxfId="11" priority="2" operator="containsText" text="Electronics">
      <formula>NOT(ISERROR(SEARCH("Electronics",I2)))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Joshy</cp:lastModifiedBy>
  <dcterms:modified xsi:type="dcterms:W3CDTF">2026-10-29T15:53:14Z</dcterms:modified>
</cp:coreProperties>
</file>